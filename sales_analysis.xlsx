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₹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0" fontId="2" fillId="2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'Summary'!$A$13:$A$16</f>
            </numRef>
          </cat>
          <val>
            <numRef>
              <f>'Summary'!$B$13:$B$16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(INR)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'Summary'!E12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'Summary'!$D$13:$D$18</f>
            </numRef>
          </cat>
          <val>
            <numRef>
              <f>'Summary'!$E$13:$E$18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(INR)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18</row>
      <rowOff>0</rowOff>
    </from>
    <ext cx="50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Table" displayName="SalesTable" ref="A1:L81" headerRowCount="1">
  <autoFilter ref="A1:L81"/>
  <tableColumns count="12">
    <tableColumn id="1" name="Order_ID"/>
    <tableColumn id="2" name="Order_Date"/>
    <tableColumn id="3" name="Region"/>
    <tableColumn id="4" name="Sales_Channel"/>
    <tableColumn id="5" name="Salesperson"/>
    <tableColumn id="6" name="Product"/>
    <tableColumn id="7" name="Unit_Price_INR"/>
    <tableColumn id="8" name="Quantity"/>
    <tableColumn id="9" name="Discount_Rate"/>
    <tableColumn id="10" name="Revenue_INR"/>
    <tableColumn id="11" name="Estimated_Cost_INR"/>
    <tableColumn id="12" name="Profit_INR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5" customWidth="1" min="4" max="4"/>
    <col width="13" customWidth="1" min="5" max="5"/>
    <col width="12" customWidth="1" min="6" max="6"/>
    <col width="16" customWidth="1" min="7" max="7"/>
    <col width="10" customWidth="1" min="8" max="8"/>
    <col width="15" customWidth="1" min="9" max="9"/>
    <col width="13" customWidth="1" min="10" max="10"/>
    <col width="20" customWidth="1" min="11" max="11"/>
    <col width="12" customWidth="1" min="12" max="12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Sales_Channel</t>
        </is>
      </c>
      <c r="E1" s="1" t="inlineStr">
        <is>
          <t>Salesperson</t>
        </is>
      </c>
      <c r="F1" s="1" t="inlineStr">
        <is>
          <t>Product</t>
        </is>
      </c>
      <c r="G1" s="1" t="inlineStr">
        <is>
          <t>Unit_Price_INR</t>
        </is>
      </c>
      <c r="H1" s="1" t="inlineStr">
        <is>
          <t>Quantity</t>
        </is>
      </c>
      <c r="I1" s="1" t="inlineStr">
        <is>
          <t>Discount_Rate</t>
        </is>
      </c>
      <c r="J1" s="1" t="inlineStr">
        <is>
          <t>Revenue_INR</t>
        </is>
      </c>
      <c r="K1" s="1" t="inlineStr">
        <is>
          <t>Estimated_Cost_INR</t>
        </is>
      </c>
      <c r="L1" s="1" t="inlineStr">
        <is>
          <t>Profit_INR</t>
        </is>
      </c>
    </row>
    <row r="2">
      <c r="A2" t="inlineStr">
        <is>
          <t>ORD-0074</t>
        </is>
      </c>
      <c r="B2" s="2" t="n">
        <v>45660</v>
      </c>
      <c r="C2" t="inlineStr">
        <is>
          <t>North</t>
        </is>
      </c>
      <c r="D2" t="inlineStr">
        <is>
          <t>Online</t>
        </is>
      </c>
      <c r="E2" t="inlineStr">
        <is>
          <t>Asha</t>
        </is>
      </c>
      <c r="F2" t="inlineStr">
        <is>
          <t>Webcam</t>
        </is>
      </c>
      <c r="G2" s="3" t="n">
        <v>4288</v>
      </c>
      <c r="H2" t="n">
        <v>2</v>
      </c>
      <c r="I2" s="4" t="n">
        <v>0</v>
      </c>
      <c r="J2" s="3" t="n">
        <v>8576</v>
      </c>
      <c r="K2" s="3" t="n">
        <v>5720.13</v>
      </c>
      <c r="L2" s="3" t="n">
        <v>2855.87</v>
      </c>
    </row>
    <row r="3">
      <c r="A3" t="inlineStr">
        <is>
          <t>ORD-0020</t>
        </is>
      </c>
      <c r="B3" s="2" t="n">
        <v>45664</v>
      </c>
      <c r="C3" t="inlineStr">
        <is>
          <t>West</t>
        </is>
      </c>
      <c r="D3" t="inlineStr">
        <is>
          <t>In-store</t>
        </is>
      </c>
      <c r="E3" t="inlineStr">
        <is>
          <t>Priya</t>
        </is>
      </c>
      <c r="F3" t="inlineStr">
        <is>
          <t>Keyboard</t>
        </is>
      </c>
      <c r="G3" s="3" t="n">
        <v>1239</v>
      </c>
      <c r="H3" t="n">
        <v>3</v>
      </c>
      <c r="I3" s="4" t="n">
        <v>0</v>
      </c>
      <c r="J3" s="3" t="n">
        <v>3717</v>
      </c>
      <c r="K3" s="3" t="n">
        <v>2893</v>
      </c>
      <c r="L3" s="3" t="n">
        <v>824</v>
      </c>
    </row>
    <row r="4">
      <c r="A4" t="inlineStr">
        <is>
          <t>ORD-0009</t>
        </is>
      </c>
      <c r="B4" s="2" t="n">
        <v>45683</v>
      </c>
      <c r="C4" t="inlineStr">
        <is>
          <t>North</t>
        </is>
      </c>
      <c r="D4" t="inlineStr">
        <is>
          <t>Online</t>
        </is>
      </c>
      <c r="E4" t="inlineStr">
        <is>
          <t>Priya</t>
        </is>
      </c>
      <c r="F4" t="inlineStr">
        <is>
          <t>Keyboard</t>
        </is>
      </c>
      <c r="G4" s="3" t="n">
        <v>739</v>
      </c>
      <c r="H4" t="n">
        <v>8</v>
      </c>
      <c r="I4" s="4" t="n">
        <v>0.05</v>
      </c>
      <c r="J4" s="3" t="n">
        <v>5616.4</v>
      </c>
      <c r="K4" s="3" t="n">
        <v>4101.24</v>
      </c>
      <c r="L4" s="3" t="n">
        <v>1515.16</v>
      </c>
    </row>
    <row r="5">
      <c r="A5" t="inlineStr">
        <is>
          <t>ORD-0046</t>
        </is>
      </c>
      <c r="B5" s="2" t="n">
        <v>45686</v>
      </c>
      <c r="C5" t="inlineStr">
        <is>
          <t>North</t>
        </is>
      </c>
      <c r="D5" t="inlineStr">
        <is>
          <t>Online</t>
        </is>
      </c>
      <c r="E5" t="inlineStr">
        <is>
          <t>Priya</t>
        </is>
      </c>
      <c r="F5" t="inlineStr">
        <is>
          <t>Keyboard</t>
        </is>
      </c>
      <c r="G5" s="3" t="n">
        <v>1303</v>
      </c>
      <c r="H5" t="n">
        <v>6</v>
      </c>
      <c r="I5" s="4" t="n">
        <v>0.1</v>
      </c>
      <c r="J5" s="3" t="n">
        <v>7036.2</v>
      </c>
      <c r="K5" s="3" t="n">
        <v>6319.61</v>
      </c>
      <c r="L5" s="3" t="n">
        <v>716.59</v>
      </c>
    </row>
    <row r="6">
      <c r="A6" t="inlineStr">
        <is>
          <t>ORD-0003</t>
        </is>
      </c>
      <c r="B6" s="2" t="n">
        <v>45689</v>
      </c>
      <c r="C6" t="inlineStr">
        <is>
          <t>South</t>
        </is>
      </c>
      <c r="D6" t="inlineStr">
        <is>
          <t>In-store</t>
        </is>
      </c>
      <c r="E6" t="inlineStr">
        <is>
          <t>Neha</t>
        </is>
      </c>
      <c r="F6" t="inlineStr">
        <is>
          <t>Monitor</t>
        </is>
      </c>
      <c r="G6" s="3" t="n">
        <v>11220</v>
      </c>
      <c r="H6" t="n">
        <v>3</v>
      </c>
      <c r="I6" s="4" t="n">
        <v>0.15</v>
      </c>
      <c r="J6" s="3" t="n">
        <v>28611</v>
      </c>
      <c r="K6" s="3" t="n">
        <v>24037.75</v>
      </c>
      <c r="L6" s="3" t="n">
        <v>4573.25</v>
      </c>
    </row>
    <row r="7">
      <c r="A7" t="inlineStr">
        <is>
          <t>ORD-0032</t>
        </is>
      </c>
      <c r="B7" s="2" t="n">
        <v>45697</v>
      </c>
      <c r="C7" t="inlineStr">
        <is>
          <t>East</t>
        </is>
      </c>
      <c r="D7" t="inlineStr">
        <is>
          <t>Online</t>
        </is>
      </c>
      <c r="E7" t="inlineStr">
        <is>
          <t>Priya</t>
        </is>
      </c>
      <c r="F7" t="inlineStr">
        <is>
          <t>Mouse</t>
        </is>
      </c>
      <c r="G7" s="3" t="n">
        <v>577</v>
      </c>
      <c r="H7" t="n">
        <v>7</v>
      </c>
      <c r="I7" s="4" t="n">
        <v>0</v>
      </c>
      <c r="J7" s="3" t="n">
        <v>4039</v>
      </c>
      <c r="K7" s="3" t="n">
        <v>2507.73</v>
      </c>
      <c r="L7" s="3" t="n">
        <v>1531.27</v>
      </c>
    </row>
    <row r="8">
      <c r="A8" t="inlineStr">
        <is>
          <t>ORD-0028</t>
        </is>
      </c>
      <c r="B8" s="2" t="n">
        <v>45700</v>
      </c>
      <c r="C8" t="inlineStr">
        <is>
          <t>South</t>
        </is>
      </c>
      <c r="D8" t="inlineStr">
        <is>
          <t>Online</t>
        </is>
      </c>
      <c r="E8" t="inlineStr">
        <is>
          <t>Rahul</t>
        </is>
      </c>
      <c r="F8" t="inlineStr">
        <is>
          <t>Mouse</t>
        </is>
      </c>
      <c r="G8" s="3" t="n">
        <v>1296</v>
      </c>
      <c r="H8" t="n">
        <v>7</v>
      </c>
      <c r="I8" s="4" t="n">
        <v>0.15</v>
      </c>
      <c r="J8" s="3" t="n">
        <v>7711.2</v>
      </c>
      <c r="K8" s="3" t="n">
        <v>6577.76</v>
      </c>
      <c r="L8" s="3" t="n">
        <v>1133.44</v>
      </c>
    </row>
    <row r="9">
      <c r="A9" t="inlineStr">
        <is>
          <t>ORD-0070</t>
        </is>
      </c>
      <c r="B9" s="2" t="n">
        <v>45703</v>
      </c>
      <c r="C9" t="inlineStr">
        <is>
          <t>North</t>
        </is>
      </c>
      <c r="D9" t="inlineStr">
        <is>
          <t>Online</t>
        </is>
      </c>
      <c r="E9" t="inlineStr">
        <is>
          <t>Priya</t>
        </is>
      </c>
      <c r="F9" t="inlineStr">
        <is>
          <t>Laptop</t>
        </is>
      </c>
      <c r="G9" s="3" t="n">
        <v>50500</v>
      </c>
      <c r="H9" t="n">
        <v>5</v>
      </c>
      <c r="I9" s="4" t="n">
        <v>0.15</v>
      </c>
      <c r="J9" s="3" t="n">
        <v>214625</v>
      </c>
      <c r="K9" s="3" t="n">
        <v>195469.94</v>
      </c>
      <c r="L9" s="3" t="n">
        <v>19155.06</v>
      </c>
    </row>
    <row r="10">
      <c r="A10" t="inlineStr">
        <is>
          <t>ORD-0053</t>
        </is>
      </c>
      <c r="B10" s="2" t="n">
        <v>45705</v>
      </c>
      <c r="C10" t="inlineStr">
        <is>
          <t>South</t>
        </is>
      </c>
      <c r="D10" t="inlineStr">
        <is>
          <t>Online</t>
        </is>
      </c>
      <c r="E10" t="inlineStr">
        <is>
          <t>Kiran</t>
        </is>
      </c>
      <c r="F10" t="inlineStr">
        <is>
          <t>Headphones</t>
        </is>
      </c>
      <c r="G10" s="3" t="n">
        <v>5034</v>
      </c>
      <c r="H10" t="n">
        <v>5</v>
      </c>
      <c r="I10" s="4" t="n">
        <v>0.15</v>
      </c>
      <c r="J10" s="3" t="n">
        <v>21394.5</v>
      </c>
      <c r="K10" s="3" t="n">
        <v>20211.12</v>
      </c>
      <c r="L10" s="3" t="n">
        <v>1183.38</v>
      </c>
    </row>
    <row r="11">
      <c r="A11" t="inlineStr">
        <is>
          <t>ORD-0055</t>
        </is>
      </c>
      <c r="B11" s="2" t="n">
        <v>45713</v>
      </c>
      <c r="C11" t="inlineStr">
        <is>
          <t>East</t>
        </is>
      </c>
      <c r="D11" t="inlineStr">
        <is>
          <t>Online</t>
        </is>
      </c>
      <c r="E11" t="inlineStr">
        <is>
          <t>Neha</t>
        </is>
      </c>
      <c r="F11" t="inlineStr">
        <is>
          <t>Mouse</t>
        </is>
      </c>
      <c r="G11" s="3" t="n">
        <v>515</v>
      </c>
      <c r="H11" t="n">
        <v>8</v>
      </c>
      <c r="I11" s="4" t="n">
        <v>0.15</v>
      </c>
      <c r="J11" s="3" t="n">
        <v>3502</v>
      </c>
      <c r="K11" s="3" t="n">
        <v>2795.09</v>
      </c>
      <c r="L11" s="3" t="n">
        <v>706.91</v>
      </c>
    </row>
    <row r="12">
      <c r="A12" t="inlineStr">
        <is>
          <t>ORD-0048</t>
        </is>
      </c>
      <c r="B12" s="2" t="n">
        <v>45716</v>
      </c>
      <c r="C12" t="inlineStr">
        <is>
          <t>North</t>
        </is>
      </c>
      <c r="D12" t="inlineStr">
        <is>
          <t>Online</t>
        </is>
      </c>
      <c r="E12" t="inlineStr">
        <is>
          <t>Kiran</t>
        </is>
      </c>
      <c r="F12" t="inlineStr">
        <is>
          <t>Keyboard</t>
        </is>
      </c>
      <c r="G12" s="3" t="n">
        <v>1762</v>
      </c>
      <c r="H12" t="n">
        <v>3</v>
      </c>
      <c r="I12" s="4" t="n">
        <v>0.1</v>
      </c>
      <c r="J12" s="3" t="n">
        <v>4757.4</v>
      </c>
      <c r="K12" s="3" t="n">
        <v>3212</v>
      </c>
      <c r="L12" s="3" t="n">
        <v>1545.4</v>
      </c>
    </row>
    <row r="13">
      <c r="A13" t="inlineStr">
        <is>
          <t>ORD-0004</t>
        </is>
      </c>
      <c r="B13" s="2" t="n">
        <v>45721</v>
      </c>
      <c r="C13" t="inlineStr">
        <is>
          <t>West</t>
        </is>
      </c>
      <c r="D13" t="inlineStr">
        <is>
          <t>Online</t>
        </is>
      </c>
      <c r="E13" t="inlineStr">
        <is>
          <t>Kiran</t>
        </is>
      </c>
      <c r="F13" t="inlineStr">
        <is>
          <t>Webcam</t>
        </is>
      </c>
      <c r="G13" s="3" t="n">
        <v>7032</v>
      </c>
      <c r="H13" t="n">
        <v>2</v>
      </c>
      <c r="I13" s="4" t="n">
        <v>0.05</v>
      </c>
      <c r="J13" s="3" t="n">
        <v>13360.8</v>
      </c>
      <c r="K13" s="3" t="n">
        <v>9539.92</v>
      </c>
      <c r="L13" s="3" t="n">
        <v>3820.88</v>
      </c>
    </row>
    <row r="14">
      <c r="A14" t="inlineStr">
        <is>
          <t>ORD-0044</t>
        </is>
      </c>
      <c r="B14" s="2" t="n">
        <v>45721</v>
      </c>
      <c r="C14" t="inlineStr">
        <is>
          <t>East</t>
        </is>
      </c>
      <c r="D14" t="inlineStr">
        <is>
          <t>In-store</t>
        </is>
      </c>
      <c r="E14" t="inlineStr">
        <is>
          <t>Kiran</t>
        </is>
      </c>
      <c r="F14" t="inlineStr">
        <is>
          <t>Keyboard</t>
        </is>
      </c>
      <c r="G14" s="3" t="n">
        <v>1603</v>
      </c>
      <c r="H14" t="n">
        <v>1</v>
      </c>
      <c r="I14" s="4" t="n">
        <v>0</v>
      </c>
      <c r="J14" s="3" t="n">
        <v>1603</v>
      </c>
      <c r="K14" s="3" t="n">
        <v>1275.62</v>
      </c>
      <c r="L14" s="3" t="n">
        <v>327.38</v>
      </c>
    </row>
    <row r="15">
      <c r="A15" t="inlineStr">
        <is>
          <t>ORD-0078</t>
        </is>
      </c>
      <c r="B15" s="2" t="n">
        <v>45730</v>
      </c>
      <c r="C15" t="inlineStr">
        <is>
          <t>West</t>
        </is>
      </c>
      <c r="D15" t="inlineStr">
        <is>
          <t>In-store</t>
        </is>
      </c>
      <c r="E15" t="inlineStr">
        <is>
          <t>Arjun</t>
        </is>
      </c>
      <c r="F15" t="inlineStr">
        <is>
          <t>Webcam</t>
        </is>
      </c>
      <c r="G15" s="3" t="n">
        <v>4431</v>
      </c>
      <c r="H15" t="n">
        <v>5</v>
      </c>
      <c r="I15" s="4" t="n">
        <v>0.05</v>
      </c>
      <c r="J15" s="3" t="n">
        <v>21047.25</v>
      </c>
      <c r="K15" s="3" t="n">
        <v>13192.31</v>
      </c>
      <c r="L15" s="3" t="n">
        <v>7854.94</v>
      </c>
    </row>
    <row r="16">
      <c r="A16" t="inlineStr">
        <is>
          <t>ORD-0065</t>
        </is>
      </c>
      <c r="B16" s="2" t="n">
        <v>45746</v>
      </c>
      <c r="C16" t="inlineStr">
        <is>
          <t>East</t>
        </is>
      </c>
      <c r="D16" t="inlineStr">
        <is>
          <t>In-store</t>
        </is>
      </c>
      <c r="E16" t="inlineStr">
        <is>
          <t>Priya</t>
        </is>
      </c>
      <c r="F16" t="inlineStr">
        <is>
          <t>Laptop</t>
        </is>
      </c>
      <c r="G16" s="3" t="n">
        <v>53121</v>
      </c>
      <c r="H16" t="n">
        <v>8</v>
      </c>
      <c r="I16" s="4" t="n">
        <v>0</v>
      </c>
      <c r="J16" s="3" t="n">
        <v>424968</v>
      </c>
      <c r="K16" s="3" t="n">
        <v>278239.49</v>
      </c>
      <c r="L16" s="3" t="n">
        <v>146728.51</v>
      </c>
    </row>
    <row r="17">
      <c r="A17" t="inlineStr">
        <is>
          <t>ORD-0071</t>
        </is>
      </c>
      <c r="B17" s="2" t="n">
        <v>45753</v>
      </c>
      <c r="C17" t="inlineStr">
        <is>
          <t>East</t>
        </is>
      </c>
      <c r="D17" t="inlineStr">
        <is>
          <t>In-store</t>
        </is>
      </c>
      <c r="E17" t="inlineStr">
        <is>
          <t>Rahul</t>
        </is>
      </c>
      <c r="F17" t="inlineStr">
        <is>
          <t>Keyboard</t>
        </is>
      </c>
      <c r="G17" s="3" t="n">
        <v>2410</v>
      </c>
      <c r="H17" t="n">
        <v>3</v>
      </c>
      <c r="I17" s="4" t="n">
        <v>0.05</v>
      </c>
      <c r="J17" s="3" t="n">
        <v>6868.5</v>
      </c>
      <c r="K17" s="3" t="n">
        <v>5806.53</v>
      </c>
      <c r="L17" s="3" t="n">
        <v>1061.97</v>
      </c>
    </row>
    <row r="18">
      <c r="A18" t="inlineStr">
        <is>
          <t>ORD-0067</t>
        </is>
      </c>
      <c r="B18" s="2" t="n">
        <v>45766</v>
      </c>
      <c r="C18" t="inlineStr">
        <is>
          <t>North</t>
        </is>
      </c>
      <c r="D18" t="inlineStr">
        <is>
          <t>Online</t>
        </is>
      </c>
      <c r="E18" t="inlineStr">
        <is>
          <t>Priya</t>
        </is>
      </c>
      <c r="F18" t="inlineStr">
        <is>
          <t>Monitor</t>
        </is>
      </c>
      <c r="G18" s="3" t="n">
        <v>9711</v>
      </c>
      <c r="H18" t="n">
        <v>1</v>
      </c>
      <c r="I18" s="4" t="n">
        <v>0.05</v>
      </c>
      <c r="J18" s="3" t="n">
        <v>9225.450000000001</v>
      </c>
      <c r="K18" s="3" t="n">
        <v>5897.42</v>
      </c>
      <c r="L18" s="3" t="n">
        <v>3328.03</v>
      </c>
    </row>
    <row r="19">
      <c r="A19" t="inlineStr">
        <is>
          <t>ORD-0021</t>
        </is>
      </c>
      <c r="B19" s="2" t="n">
        <v>45766</v>
      </c>
      <c r="C19" t="inlineStr">
        <is>
          <t>North</t>
        </is>
      </c>
      <c r="D19" t="inlineStr">
        <is>
          <t>Online</t>
        </is>
      </c>
      <c r="E19" t="inlineStr">
        <is>
          <t>Asha</t>
        </is>
      </c>
      <c r="F19" t="inlineStr">
        <is>
          <t>Laptop</t>
        </is>
      </c>
      <c r="G19" s="3" t="n">
        <v>53754</v>
      </c>
      <c r="H19" t="n">
        <v>2</v>
      </c>
      <c r="I19" s="4" t="n">
        <v>0.15</v>
      </c>
      <c r="J19" s="3" t="n">
        <v>91381.8</v>
      </c>
      <c r="K19" s="3" t="n">
        <v>79568.16</v>
      </c>
      <c r="L19" s="3" t="n">
        <v>11813.64</v>
      </c>
    </row>
    <row r="20">
      <c r="A20" t="inlineStr">
        <is>
          <t>ORD-0035</t>
        </is>
      </c>
      <c r="B20" s="2" t="n">
        <v>45767</v>
      </c>
      <c r="C20" t="inlineStr">
        <is>
          <t>North</t>
        </is>
      </c>
      <c r="D20" t="inlineStr">
        <is>
          <t>In-store</t>
        </is>
      </c>
      <c r="E20" t="inlineStr">
        <is>
          <t>Arjun</t>
        </is>
      </c>
      <c r="F20" t="inlineStr">
        <is>
          <t>Headphones</t>
        </is>
      </c>
      <c r="G20" s="3" t="n">
        <v>4225</v>
      </c>
      <c r="H20" t="n">
        <v>7</v>
      </c>
      <c r="I20" s="4" t="n">
        <v>0.1</v>
      </c>
      <c r="J20" s="3" t="n">
        <v>26617.5</v>
      </c>
      <c r="K20" s="3" t="n">
        <v>19071.66</v>
      </c>
      <c r="L20" s="3" t="n">
        <v>7545.84</v>
      </c>
    </row>
    <row r="21">
      <c r="A21" t="inlineStr">
        <is>
          <t>ORD-0015</t>
        </is>
      </c>
      <c r="B21" s="2" t="n">
        <v>45771</v>
      </c>
      <c r="C21" t="inlineStr">
        <is>
          <t>South</t>
        </is>
      </c>
      <c r="D21" t="inlineStr">
        <is>
          <t>Online</t>
        </is>
      </c>
      <c r="E21" t="inlineStr">
        <is>
          <t>Arjun</t>
        </is>
      </c>
      <c r="F21" t="inlineStr">
        <is>
          <t>Headphones</t>
        </is>
      </c>
      <c r="G21" s="3" t="n">
        <v>4541</v>
      </c>
      <c r="H21" t="n">
        <v>8</v>
      </c>
      <c r="I21" s="4" t="n">
        <v>0</v>
      </c>
      <c r="J21" s="3" t="n">
        <v>36328</v>
      </c>
      <c r="K21" s="3" t="n">
        <v>29504.61</v>
      </c>
      <c r="L21" s="3" t="n">
        <v>6823.39</v>
      </c>
    </row>
    <row r="22">
      <c r="A22" t="inlineStr">
        <is>
          <t>ORD-0023</t>
        </is>
      </c>
      <c r="B22" s="2" t="n">
        <v>45771</v>
      </c>
      <c r="C22" t="inlineStr">
        <is>
          <t>North</t>
        </is>
      </c>
      <c r="D22" t="inlineStr">
        <is>
          <t>Online</t>
        </is>
      </c>
      <c r="E22" t="inlineStr">
        <is>
          <t>Rahul</t>
        </is>
      </c>
      <c r="F22" t="inlineStr">
        <is>
          <t>Webcam</t>
        </is>
      </c>
      <c r="G22" s="3" t="n">
        <v>2045</v>
      </c>
      <c r="H22" t="n">
        <v>7</v>
      </c>
      <c r="I22" s="4" t="n">
        <v>0</v>
      </c>
      <c r="J22" s="3" t="n">
        <v>14315</v>
      </c>
      <c r="K22" s="3" t="n">
        <v>9773.51</v>
      </c>
      <c r="L22" s="3" t="n">
        <v>4541.49</v>
      </c>
    </row>
    <row r="23">
      <c r="A23" t="inlineStr">
        <is>
          <t>ORD-0030</t>
        </is>
      </c>
      <c r="B23" s="2" t="n">
        <v>45778</v>
      </c>
      <c r="C23" t="inlineStr">
        <is>
          <t>West</t>
        </is>
      </c>
      <c r="D23" t="inlineStr">
        <is>
          <t>Online</t>
        </is>
      </c>
      <c r="E23" t="inlineStr">
        <is>
          <t>Priya</t>
        </is>
      </c>
      <c r="F23" t="inlineStr">
        <is>
          <t>Monitor</t>
        </is>
      </c>
      <c r="G23" s="3" t="n">
        <v>10472</v>
      </c>
      <c r="H23" t="n">
        <v>4</v>
      </c>
      <c r="I23" s="4" t="n">
        <v>0.1</v>
      </c>
      <c r="J23" s="3" t="n">
        <v>37699.2</v>
      </c>
      <c r="K23" s="3" t="n">
        <v>29796.8</v>
      </c>
      <c r="L23" s="3" t="n">
        <v>7902.4</v>
      </c>
    </row>
    <row r="24">
      <c r="A24" t="inlineStr">
        <is>
          <t>ORD-0061</t>
        </is>
      </c>
      <c r="B24" s="2" t="n">
        <v>45780</v>
      </c>
      <c r="C24" t="inlineStr">
        <is>
          <t>North</t>
        </is>
      </c>
      <c r="D24" t="inlineStr">
        <is>
          <t>Online</t>
        </is>
      </c>
      <c r="E24" t="inlineStr">
        <is>
          <t>Arjun</t>
        </is>
      </c>
      <c r="F24" t="inlineStr">
        <is>
          <t>Keyboard</t>
        </is>
      </c>
      <c r="G24" s="3" t="n">
        <v>1870</v>
      </c>
      <c r="H24" t="n">
        <v>8</v>
      </c>
      <c r="I24" s="4" t="n">
        <v>0.1</v>
      </c>
      <c r="J24" s="3" t="n">
        <v>13464</v>
      </c>
      <c r="K24" s="3" t="n">
        <v>9073.98</v>
      </c>
      <c r="L24" s="3" t="n">
        <v>4390.02</v>
      </c>
    </row>
    <row r="25">
      <c r="A25" t="inlineStr">
        <is>
          <t>ORD-0031</t>
        </is>
      </c>
      <c r="B25" s="2" t="n">
        <v>45782</v>
      </c>
      <c r="C25" t="inlineStr">
        <is>
          <t>North</t>
        </is>
      </c>
      <c r="D25" t="inlineStr">
        <is>
          <t>In-store</t>
        </is>
      </c>
      <c r="E25" t="inlineStr">
        <is>
          <t>Arjun</t>
        </is>
      </c>
      <c r="F25" t="inlineStr">
        <is>
          <t>Mouse</t>
        </is>
      </c>
      <c r="G25" s="3" t="n">
        <v>913</v>
      </c>
      <c r="H25" t="n">
        <v>4</v>
      </c>
      <c r="I25" s="4" t="n">
        <v>0.05</v>
      </c>
      <c r="J25" s="3" t="n">
        <v>3469.4</v>
      </c>
      <c r="K25" s="3" t="n">
        <v>2124.31</v>
      </c>
      <c r="L25" s="3" t="n">
        <v>1345.09</v>
      </c>
    </row>
    <row r="26">
      <c r="A26" t="inlineStr">
        <is>
          <t>ORD-0002</t>
        </is>
      </c>
      <c r="B26" s="2" t="n">
        <v>45785</v>
      </c>
      <c r="C26" t="inlineStr">
        <is>
          <t>West</t>
        </is>
      </c>
      <c r="D26" t="inlineStr">
        <is>
          <t>Online</t>
        </is>
      </c>
      <c r="E26" t="inlineStr">
        <is>
          <t>Neha</t>
        </is>
      </c>
      <c r="F26" t="inlineStr">
        <is>
          <t>Mouse</t>
        </is>
      </c>
      <c r="G26" s="3" t="n">
        <v>1259</v>
      </c>
      <c r="H26" t="n">
        <v>5</v>
      </c>
      <c r="I26" s="4" t="n">
        <v>0.15</v>
      </c>
      <c r="J26" s="3" t="n">
        <v>5350.75</v>
      </c>
      <c r="K26" s="3" t="n">
        <v>4863.33</v>
      </c>
      <c r="L26" s="3" t="n">
        <v>487.42</v>
      </c>
    </row>
    <row r="27">
      <c r="A27" t="inlineStr">
        <is>
          <t>ORD-0010</t>
        </is>
      </c>
      <c r="B27" s="2" t="n">
        <v>45790</v>
      </c>
      <c r="C27" t="inlineStr">
        <is>
          <t>South</t>
        </is>
      </c>
      <c r="D27" t="inlineStr">
        <is>
          <t>In-store</t>
        </is>
      </c>
      <c r="E27" t="inlineStr">
        <is>
          <t>Arjun</t>
        </is>
      </c>
      <c r="F27" t="inlineStr">
        <is>
          <t>Laptop</t>
        </is>
      </c>
      <c r="G27" s="3" t="n">
        <v>60889</v>
      </c>
      <c r="H27" t="n">
        <v>1</v>
      </c>
      <c r="I27" s="4" t="n">
        <v>0.15</v>
      </c>
      <c r="J27" s="3" t="n">
        <v>51755.65</v>
      </c>
      <c r="K27" s="3" t="n">
        <v>43560.26</v>
      </c>
      <c r="L27" s="3" t="n">
        <v>8195.389999999999</v>
      </c>
    </row>
    <row r="28">
      <c r="A28" t="inlineStr">
        <is>
          <t>ORD-0050</t>
        </is>
      </c>
      <c r="B28" s="2" t="n">
        <v>45795</v>
      </c>
      <c r="C28" t="inlineStr">
        <is>
          <t>South</t>
        </is>
      </c>
      <c r="D28" t="inlineStr">
        <is>
          <t>In-store</t>
        </is>
      </c>
      <c r="E28" t="inlineStr">
        <is>
          <t>Kiran</t>
        </is>
      </c>
      <c r="F28" t="inlineStr">
        <is>
          <t>Laptop</t>
        </is>
      </c>
      <c r="G28" s="3" t="n">
        <v>64434</v>
      </c>
      <c r="H28" t="n">
        <v>2</v>
      </c>
      <c r="I28" s="4" t="n">
        <v>0</v>
      </c>
      <c r="J28" s="3" t="n">
        <v>128868</v>
      </c>
      <c r="K28" s="3" t="n">
        <v>79087.81</v>
      </c>
      <c r="L28" s="3" t="n">
        <v>49780.19</v>
      </c>
    </row>
    <row r="29">
      <c r="A29" t="inlineStr">
        <is>
          <t>ORD-0063</t>
        </is>
      </c>
      <c r="B29" s="2" t="n">
        <v>45801</v>
      </c>
      <c r="C29" t="inlineStr">
        <is>
          <t>West</t>
        </is>
      </c>
      <c r="D29" t="inlineStr">
        <is>
          <t>In-store</t>
        </is>
      </c>
      <c r="E29" t="inlineStr">
        <is>
          <t>Rahul</t>
        </is>
      </c>
      <c r="F29" t="inlineStr">
        <is>
          <t>Monitor</t>
        </is>
      </c>
      <c r="G29" s="3" t="n">
        <v>11319</v>
      </c>
      <c r="H29" t="n">
        <v>3</v>
      </c>
      <c r="I29" s="4" t="n">
        <v>0</v>
      </c>
      <c r="J29" s="3" t="n">
        <v>33957</v>
      </c>
      <c r="K29" s="3" t="n">
        <v>24638.13</v>
      </c>
      <c r="L29" s="3" t="n">
        <v>9318.870000000001</v>
      </c>
    </row>
    <row r="30">
      <c r="A30" t="inlineStr">
        <is>
          <t>ORD-0051</t>
        </is>
      </c>
      <c r="B30" s="2" t="n">
        <v>45811</v>
      </c>
      <c r="C30" t="inlineStr">
        <is>
          <t>North</t>
        </is>
      </c>
      <c r="D30" t="inlineStr">
        <is>
          <t>In-store</t>
        </is>
      </c>
      <c r="E30" t="inlineStr">
        <is>
          <t>Asha</t>
        </is>
      </c>
      <c r="F30" t="inlineStr">
        <is>
          <t>Keyboard</t>
        </is>
      </c>
      <c r="G30" s="3" t="n">
        <v>1940</v>
      </c>
      <c r="H30" t="n">
        <v>6</v>
      </c>
      <c r="I30" s="4" t="n">
        <v>0.15</v>
      </c>
      <c r="J30" s="3" t="n">
        <v>9894</v>
      </c>
      <c r="K30" s="3" t="n">
        <v>6797.69</v>
      </c>
      <c r="L30" s="3" t="n">
        <v>3096.31</v>
      </c>
    </row>
    <row r="31">
      <c r="A31" t="inlineStr">
        <is>
          <t>ORD-0008</t>
        </is>
      </c>
      <c r="B31" s="2" t="n">
        <v>45815</v>
      </c>
      <c r="C31" t="inlineStr">
        <is>
          <t>East</t>
        </is>
      </c>
      <c r="D31" t="inlineStr">
        <is>
          <t>In-store</t>
        </is>
      </c>
      <c r="E31" t="inlineStr">
        <is>
          <t>Asha</t>
        </is>
      </c>
      <c r="F31" t="inlineStr">
        <is>
          <t>Keyboard</t>
        </is>
      </c>
      <c r="G31" s="3" t="n">
        <v>1353</v>
      </c>
      <c r="H31" t="n">
        <v>3</v>
      </c>
      <c r="I31" s="4" t="n">
        <v>0.05</v>
      </c>
      <c r="J31" s="3" t="n">
        <v>3856.05</v>
      </c>
      <c r="K31" s="3" t="n">
        <v>2445.9</v>
      </c>
      <c r="L31" s="3" t="n">
        <v>1410.15</v>
      </c>
    </row>
    <row r="32">
      <c r="A32" t="inlineStr">
        <is>
          <t>ORD-0013</t>
        </is>
      </c>
      <c r="B32" s="2" t="n">
        <v>45817</v>
      </c>
      <c r="C32" t="inlineStr">
        <is>
          <t>North</t>
        </is>
      </c>
      <c r="D32" t="inlineStr">
        <is>
          <t>Online</t>
        </is>
      </c>
      <c r="E32" t="inlineStr">
        <is>
          <t>Rahul</t>
        </is>
      </c>
      <c r="F32" t="inlineStr">
        <is>
          <t>Keyboard</t>
        </is>
      </c>
      <c r="G32" s="3" t="n">
        <v>2046</v>
      </c>
      <c r="H32" t="n">
        <v>7</v>
      </c>
      <c r="I32" s="4" t="n">
        <v>0.1</v>
      </c>
      <c r="J32" s="3" t="n">
        <v>12889.8</v>
      </c>
      <c r="K32" s="3" t="n">
        <v>8564.610000000001</v>
      </c>
      <c r="L32" s="3" t="n">
        <v>4325.19</v>
      </c>
    </row>
    <row r="33">
      <c r="A33" t="inlineStr">
        <is>
          <t>ORD-0057</t>
        </is>
      </c>
      <c r="B33" s="2" t="n">
        <v>45819</v>
      </c>
      <c r="C33" t="inlineStr">
        <is>
          <t>West</t>
        </is>
      </c>
      <c r="D33" t="inlineStr">
        <is>
          <t>In-store</t>
        </is>
      </c>
      <c r="E33" t="inlineStr">
        <is>
          <t>Priya</t>
        </is>
      </c>
      <c r="F33" t="inlineStr">
        <is>
          <t>Monitor</t>
        </is>
      </c>
      <c r="G33" s="3" t="n">
        <v>9621</v>
      </c>
      <c r="H33" t="n">
        <v>4</v>
      </c>
      <c r="I33" s="4" t="n">
        <v>0.15</v>
      </c>
      <c r="J33" s="3" t="n">
        <v>32711.4</v>
      </c>
      <c r="K33" s="3" t="n">
        <v>26641.81</v>
      </c>
      <c r="L33" s="3" t="n">
        <v>6069.59</v>
      </c>
    </row>
    <row r="34">
      <c r="A34" t="inlineStr">
        <is>
          <t>ORD-0016</t>
        </is>
      </c>
      <c r="B34" s="2" t="n">
        <v>45820</v>
      </c>
      <c r="C34" t="inlineStr">
        <is>
          <t>West</t>
        </is>
      </c>
      <c r="D34" t="inlineStr">
        <is>
          <t>Online</t>
        </is>
      </c>
      <c r="E34" t="inlineStr">
        <is>
          <t>Priya</t>
        </is>
      </c>
      <c r="F34" t="inlineStr">
        <is>
          <t>Monitor</t>
        </is>
      </c>
      <c r="G34" s="3" t="n">
        <v>13965</v>
      </c>
      <c r="H34" t="n">
        <v>1</v>
      </c>
      <c r="I34" s="4" t="n">
        <v>0.15</v>
      </c>
      <c r="J34" s="3" t="n">
        <v>11870.25</v>
      </c>
      <c r="K34" s="3" t="n">
        <v>10003.04</v>
      </c>
      <c r="L34" s="3" t="n">
        <v>1867.21</v>
      </c>
    </row>
    <row r="35">
      <c r="A35" t="inlineStr">
        <is>
          <t>ORD-0054</t>
        </is>
      </c>
      <c r="B35" s="2" t="n">
        <v>45822</v>
      </c>
      <c r="C35" t="inlineStr">
        <is>
          <t>East</t>
        </is>
      </c>
      <c r="D35" t="inlineStr">
        <is>
          <t>In-store</t>
        </is>
      </c>
      <c r="E35" t="inlineStr">
        <is>
          <t>Asha</t>
        </is>
      </c>
      <c r="F35" t="inlineStr">
        <is>
          <t>Webcam</t>
        </is>
      </c>
      <c r="G35" s="3" t="n">
        <v>2119</v>
      </c>
      <c r="H35" t="n">
        <v>3</v>
      </c>
      <c r="I35" s="4" t="n">
        <v>0.15</v>
      </c>
      <c r="J35" s="3" t="n">
        <v>5403.45</v>
      </c>
      <c r="K35" s="3" t="n">
        <v>4722.14</v>
      </c>
      <c r="L35" s="3" t="n">
        <v>681.3099999999999</v>
      </c>
    </row>
    <row r="36">
      <c r="A36" t="inlineStr">
        <is>
          <t>ORD-0068</t>
        </is>
      </c>
      <c r="B36" s="2" t="n">
        <v>45825</v>
      </c>
      <c r="C36" t="inlineStr">
        <is>
          <t>North</t>
        </is>
      </c>
      <c r="D36" t="inlineStr">
        <is>
          <t>In-store</t>
        </is>
      </c>
      <c r="E36" t="inlineStr">
        <is>
          <t>Asha</t>
        </is>
      </c>
      <c r="F36" t="inlineStr">
        <is>
          <t>Monitor</t>
        </is>
      </c>
      <c r="G36" s="3" t="n">
        <v>11437</v>
      </c>
      <c r="H36" t="n">
        <v>3</v>
      </c>
      <c r="I36" s="4" t="n">
        <v>0</v>
      </c>
      <c r="J36" s="3" t="n">
        <v>34311</v>
      </c>
      <c r="K36" s="3" t="n">
        <v>26859.24</v>
      </c>
      <c r="L36" s="3" t="n">
        <v>7451.76</v>
      </c>
    </row>
    <row r="37">
      <c r="A37" t="inlineStr">
        <is>
          <t>ORD-0033</t>
        </is>
      </c>
      <c r="B37" s="2" t="n">
        <v>45831</v>
      </c>
      <c r="C37" t="inlineStr">
        <is>
          <t>East</t>
        </is>
      </c>
      <c r="D37" t="inlineStr">
        <is>
          <t>In-store</t>
        </is>
      </c>
      <c r="E37" t="inlineStr">
        <is>
          <t>Priya</t>
        </is>
      </c>
      <c r="F37" t="inlineStr">
        <is>
          <t>Mouse</t>
        </is>
      </c>
      <c r="G37" s="3" t="n">
        <v>1058</v>
      </c>
      <c r="H37" t="n">
        <v>3</v>
      </c>
      <c r="I37" s="4" t="n">
        <v>0</v>
      </c>
      <c r="J37" s="3" t="n">
        <v>3174</v>
      </c>
      <c r="K37" s="3" t="n">
        <v>2407.29</v>
      </c>
      <c r="L37" s="3" t="n">
        <v>766.71</v>
      </c>
    </row>
    <row r="38">
      <c r="A38" t="inlineStr">
        <is>
          <t>ORD-0007</t>
        </is>
      </c>
      <c r="B38" s="2" t="n">
        <v>45842</v>
      </c>
      <c r="C38" t="inlineStr">
        <is>
          <t>South</t>
        </is>
      </c>
      <c r="D38" t="inlineStr">
        <is>
          <t>In-store</t>
        </is>
      </c>
      <c r="E38" t="inlineStr">
        <is>
          <t>Kiran</t>
        </is>
      </c>
      <c r="F38" t="inlineStr">
        <is>
          <t>Laptop</t>
        </is>
      </c>
      <c r="G38" s="3" t="n">
        <v>53755</v>
      </c>
      <c r="H38" t="n">
        <v>2</v>
      </c>
      <c r="I38" s="4" t="n">
        <v>0.05</v>
      </c>
      <c r="J38" s="3" t="n">
        <v>102134.5</v>
      </c>
      <c r="K38" s="3" t="n">
        <v>67329.14999999999</v>
      </c>
      <c r="L38" s="3" t="n">
        <v>34805.35</v>
      </c>
    </row>
    <row r="39">
      <c r="A39" t="inlineStr">
        <is>
          <t>ORD-0075</t>
        </is>
      </c>
      <c r="B39" s="2" t="n">
        <v>45847</v>
      </c>
      <c r="C39" t="inlineStr">
        <is>
          <t>West</t>
        </is>
      </c>
      <c r="D39" t="inlineStr">
        <is>
          <t>In-store</t>
        </is>
      </c>
      <c r="E39" t="inlineStr">
        <is>
          <t>Rahul</t>
        </is>
      </c>
      <c r="F39" t="inlineStr">
        <is>
          <t>Monitor</t>
        </is>
      </c>
      <c r="G39" s="3" t="n">
        <v>16093</v>
      </c>
      <c r="H39" t="n">
        <v>8</v>
      </c>
      <c r="I39" s="4" t="n">
        <v>0.05</v>
      </c>
      <c r="J39" s="3" t="n">
        <v>122306.8</v>
      </c>
      <c r="K39" s="3" t="n">
        <v>103331.45</v>
      </c>
      <c r="L39" s="3" t="n">
        <v>18975.35</v>
      </c>
    </row>
    <row r="40">
      <c r="A40" t="inlineStr">
        <is>
          <t>ORD-0047</t>
        </is>
      </c>
      <c r="B40" s="2" t="n">
        <v>45848</v>
      </c>
      <c r="C40" t="inlineStr">
        <is>
          <t>South</t>
        </is>
      </c>
      <c r="D40" t="inlineStr">
        <is>
          <t>Online</t>
        </is>
      </c>
      <c r="E40" t="inlineStr">
        <is>
          <t>Neha</t>
        </is>
      </c>
      <c r="F40" t="inlineStr">
        <is>
          <t>Mouse</t>
        </is>
      </c>
      <c r="G40" s="3" t="n">
        <v>1314</v>
      </c>
      <c r="H40" t="n">
        <v>6</v>
      </c>
      <c r="I40" s="4" t="n">
        <v>0.1</v>
      </c>
      <c r="J40" s="3" t="n">
        <v>7095.6</v>
      </c>
      <c r="K40" s="3" t="n">
        <v>5266.94</v>
      </c>
      <c r="L40" s="3" t="n">
        <v>1828.66</v>
      </c>
    </row>
    <row r="41">
      <c r="A41" t="inlineStr">
        <is>
          <t>ORD-0045</t>
        </is>
      </c>
      <c r="B41" s="2" t="n">
        <v>45851</v>
      </c>
      <c r="C41" t="inlineStr">
        <is>
          <t>East</t>
        </is>
      </c>
      <c r="D41" t="inlineStr">
        <is>
          <t>Online</t>
        </is>
      </c>
      <c r="E41" t="inlineStr">
        <is>
          <t>Kiran</t>
        </is>
      </c>
      <c r="F41" t="inlineStr">
        <is>
          <t>Headphones</t>
        </is>
      </c>
      <c r="G41" s="3" t="n">
        <v>3356</v>
      </c>
      <c r="H41" t="n">
        <v>1</v>
      </c>
      <c r="I41" s="4" t="n">
        <v>0</v>
      </c>
      <c r="J41" s="3" t="n">
        <v>3356</v>
      </c>
      <c r="K41" s="3" t="n">
        <v>2517.71</v>
      </c>
      <c r="L41" s="3" t="n">
        <v>838.29</v>
      </c>
    </row>
    <row r="42">
      <c r="A42" t="inlineStr">
        <is>
          <t>ORD-0039</t>
        </is>
      </c>
      <c r="B42" s="2" t="n">
        <v>45852</v>
      </c>
      <c r="C42" t="inlineStr">
        <is>
          <t>South</t>
        </is>
      </c>
      <c r="D42" t="inlineStr">
        <is>
          <t>In-store</t>
        </is>
      </c>
      <c r="E42" t="inlineStr">
        <is>
          <t>Kiran</t>
        </is>
      </c>
      <c r="F42" t="inlineStr">
        <is>
          <t>Laptop</t>
        </is>
      </c>
      <c r="G42" s="3" t="n">
        <v>59927</v>
      </c>
      <c r="H42" t="n">
        <v>4</v>
      </c>
      <c r="I42" s="4" t="n">
        <v>0.05</v>
      </c>
      <c r="J42" s="3" t="n">
        <v>227722.6</v>
      </c>
      <c r="K42" s="3" t="n">
        <v>180542.78</v>
      </c>
      <c r="L42" s="3" t="n">
        <v>47179.82</v>
      </c>
    </row>
    <row r="43">
      <c r="A43" t="inlineStr">
        <is>
          <t>ORD-0079</t>
        </is>
      </c>
      <c r="B43" s="2" t="n">
        <v>45856</v>
      </c>
      <c r="C43" t="inlineStr">
        <is>
          <t>East</t>
        </is>
      </c>
      <c r="D43" t="inlineStr">
        <is>
          <t>Online</t>
        </is>
      </c>
      <c r="E43" t="inlineStr">
        <is>
          <t>Rahul</t>
        </is>
      </c>
      <c r="F43" t="inlineStr">
        <is>
          <t>Webcam</t>
        </is>
      </c>
      <c r="G43" s="3" t="n">
        <v>1874</v>
      </c>
      <c r="H43" t="n">
        <v>3</v>
      </c>
      <c r="I43" s="4" t="n">
        <v>0.1</v>
      </c>
      <c r="J43" s="3" t="n">
        <v>5059.8</v>
      </c>
      <c r="K43" s="3" t="n">
        <v>4597.61</v>
      </c>
      <c r="L43" s="3" t="n">
        <v>462.19</v>
      </c>
    </row>
    <row r="44">
      <c r="A44" t="inlineStr">
        <is>
          <t>ORD-0049</t>
        </is>
      </c>
      <c r="B44" s="2" t="n">
        <v>45858</v>
      </c>
      <c r="C44" t="inlineStr">
        <is>
          <t>West</t>
        </is>
      </c>
      <c r="D44" t="inlineStr">
        <is>
          <t>Online</t>
        </is>
      </c>
      <c r="E44" t="inlineStr">
        <is>
          <t>Kiran</t>
        </is>
      </c>
      <c r="F44" t="inlineStr">
        <is>
          <t>Laptop</t>
        </is>
      </c>
      <c r="G44" s="3" t="n">
        <v>60105</v>
      </c>
      <c r="H44" t="n">
        <v>3</v>
      </c>
      <c r="I44" s="4" t="n">
        <v>0</v>
      </c>
      <c r="J44" s="3" t="n">
        <v>180315</v>
      </c>
      <c r="K44" s="3" t="n">
        <v>128281.3</v>
      </c>
      <c r="L44" s="3" t="n">
        <v>52033.7</v>
      </c>
    </row>
    <row r="45">
      <c r="A45" t="inlineStr">
        <is>
          <t>ORD-0041</t>
        </is>
      </c>
      <c r="B45" s="2" t="n">
        <v>45863</v>
      </c>
      <c r="C45" t="inlineStr">
        <is>
          <t>West</t>
        </is>
      </c>
      <c r="D45" t="inlineStr">
        <is>
          <t>Online</t>
        </is>
      </c>
      <c r="E45" t="inlineStr">
        <is>
          <t>Rahul</t>
        </is>
      </c>
      <c r="F45" t="inlineStr">
        <is>
          <t>Mouse</t>
        </is>
      </c>
      <c r="G45" s="3" t="n">
        <v>1395</v>
      </c>
      <c r="H45" t="n">
        <v>6</v>
      </c>
      <c r="I45" s="4" t="n">
        <v>0</v>
      </c>
      <c r="J45" s="3" t="n">
        <v>8370</v>
      </c>
      <c r="K45" s="3" t="n">
        <v>5510.86</v>
      </c>
      <c r="L45" s="3" t="n">
        <v>2859.14</v>
      </c>
    </row>
    <row r="46">
      <c r="A46" t="inlineStr">
        <is>
          <t>ORD-0005</t>
        </is>
      </c>
      <c r="B46" s="2" t="n">
        <v>45867</v>
      </c>
      <c r="C46" t="inlineStr">
        <is>
          <t>North</t>
        </is>
      </c>
      <c r="D46" t="inlineStr">
        <is>
          <t>In-store</t>
        </is>
      </c>
      <c r="E46" t="inlineStr">
        <is>
          <t>Asha</t>
        </is>
      </c>
      <c r="F46" t="inlineStr">
        <is>
          <t>Headphones</t>
        </is>
      </c>
      <c r="G46" s="3" t="n">
        <v>3955</v>
      </c>
      <c r="H46" t="n">
        <v>1</v>
      </c>
      <c r="I46" s="4" t="n">
        <v>0.1</v>
      </c>
      <c r="J46" s="3" t="n">
        <v>3559.5</v>
      </c>
      <c r="K46" s="3" t="n">
        <v>2647.19</v>
      </c>
      <c r="L46" s="3" t="n">
        <v>912.3099999999999</v>
      </c>
    </row>
    <row r="47">
      <c r="A47" t="inlineStr">
        <is>
          <t>ORD-0038</t>
        </is>
      </c>
      <c r="B47" s="2" t="n">
        <v>45870</v>
      </c>
      <c r="C47" t="inlineStr">
        <is>
          <t>South</t>
        </is>
      </c>
      <c r="D47" t="inlineStr">
        <is>
          <t>Online</t>
        </is>
      </c>
      <c r="E47" t="inlineStr">
        <is>
          <t>Kiran</t>
        </is>
      </c>
      <c r="F47" t="inlineStr">
        <is>
          <t>Monitor</t>
        </is>
      </c>
      <c r="G47" s="3" t="n">
        <v>11102</v>
      </c>
      <c r="H47" t="n">
        <v>4</v>
      </c>
      <c r="I47" s="4" t="n">
        <v>0.05</v>
      </c>
      <c r="J47" s="3" t="n">
        <v>42187.6</v>
      </c>
      <c r="K47" s="3" t="n">
        <v>33613.12</v>
      </c>
      <c r="L47" s="3" t="n">
        <v>8574.48</v>
      </c>
    </row>
    <row r="48">
      <c r="A48" t="inlineStr">
        <is>
          <t>ORD-0027</t>
        </is>
      </c>
      <c r="B48" s="2" t="n">
        <v>45873</v>
      </c>
      <c r="C48" t="inlineStr">
        <is>
          <t>South</t>
        </is>
      </c>
      <c r="D48" t="inlineStr">
        <is>
          <t>Online</t>
        </is>
      </c>
      <c r="E48" t="inlineStr">
        <is>
          <t>Priya</t>
        </is>
      </c>
      <c r="F48" t="inlineStr">
        <is>
          <t>Keyboard</t>
        </is>
      </c>
      <c r="G48" s="3" t="n">
        <v>2102</v>
      </c>
      <c r="H48" t="n">
        <v>4</v>
      </c>
      <c r="I48" s="4" t="n">
        <v>0.1</v>
      </c>
      <c r="J48" s="3" t="n">
        <v>7567.2</v>
      </c>
      <c r="K48" s="3" t="n">
        <v>5614.34</v>
      </c>
      <c r="L48" s="3" t="n">
        <v>1952.86</v>
      </c>
    </row>
    <row r="49">
      <c r="A49" t="inlineStr">
        <is>
          <t>ORD-0018</t>
        </is>
      </c>
      <c r="B49" s="2" t="n">
        <v>45880</v>
      </c>
      <c r="C49" t="inlineStr">
        <is>
          <t>North</t>
        </is>
      </c>
      <c r="D49" t="inlineStr">
        <is>
          <t>Online</t>
        </is>
      </c>
      <c r="E49" t="inlineStr">
        <is>
          <t>Neha</t>
        </is>
      </c>
      <c r="F49" t="inlineStr">
        <is>
          <t>Keyboard</t>
        </is>
      </c>
      <c r="G49" s="3" t="n">
        <v>1619</v>
      </c>
      <c r="H49" t="n">
        <v>2</v>
      </c>
      <c r="I49" s="4" t="n">
        <v>0.15</v>
      </c>
      <c r="J49" s="3" t="n">
        <v>2752.3</v>
      </c>
      <c r="K49" s="3" t="n">
        <v>1960.04</v>
      </c>
      <c r="L49" s="3" t="n">
        <v>792.26</v>
      </c>
    </row>
    <row r="50">
      <c r="A50" t="inlineStr">
        <is>
          <t>ORD-0058</t>
        </is>
      </c>
      <c r="B50" s="2" t="n">
        <v>45881</v>
      </c>
      <c r="C50" t="inlineStr">
        <is>
          <t>East</t>
        </is>
      </c>
      <c r="D50" t="inlineStr">
        <is>
          <t>Online</t>
        </is>
      </c>
      <c r="E50" t="inlineStr">
        <is>
          <t>Priya</t>
        </is>
      </c>
      <c r="F50" t="inlineStr">
        <is>
          <t>Headphones</t>
        </is>
      </c>
      <c r="G50" s="3" t="n">
        <v>1629</v>
      </c>
      <c r="H50" t="n">
        <v>4</v>
      </c>
      <c r="I50" s="4" t="n">
        <v>0</v>
      </c>
      <c r="J50" s="3" t="n">
        <v>6516</v>
      </c>
      <c r="K50" s="3" t="n">
        <v>4169.14</v>
      </c>
      <c r="L50" s="3" t="n">
        <v>2346.86</v>
      </c>
    </row>
    <row r="51">
      <c r="A51" t="inlineStr">
        <is>
          <t>ORD-0040</t>
        </is>
      </c>
      <c r="B51" s="2" t="n">
        <v>45884</v>
      </c>
      <c r="C51" t="inlineStr">
        <is>
          <t>West</t>
        </is>
      </c>
      <c r="D51" t="inlineStr">
        <is>
          <t>Online</t>
        </is>
      </c>
      <c r="E51" t="inlineStr">
        <is>
          <t>Kiran</t>
        </is>
      </c>
      <c r="F51" t="inlineStr">
        <is>
          <t>Webcam</t>
        </is>
      </c>
      <c r="G51" s="3" t="n">
        <v>2519</v>
      </c>
      <c r="H51" t="n">
        <v>3</v>
      </c>
      <c r="I51" s="4" t="n">
        <v>0</v>
      </c>
      <c r="J51" s="3" t="n">
        <v>7557</v>
      </c>
      <c r="K51" s="3" t="n">
        <v>5976.31</v>
      </c>
      <c r="L51" s="3" t="n">
        <v>1580.69</v>
      </c>
    </row>
    <row r="52">
      <c r="A52" t="inlineStr">
        <is>
          <t>ORD-0066</t>
        </is>
      </c>
      <c r="B52" s="2" t="n">
        <v>45888</v>
      </c>
      <c r="C52" t="inlineStr">
        <is>
          <t>East</t>
        </is>
      </c>
      <c r="D52" t="inlineStr">
        <is>
          <t>Online</t>
        </is>
      </c>
      <c r="E52" t="inlineStr">
        <is>
          <t>Neha</t>
        </is>
      </c>
      <c r="F52" t="inlineStr">
        <is>
          <t>Keyboard</t>
        </is>
      </c>
      <c r="G52" s="3" t="n">
        <v>1741</v>
      </c>
      <c r="H52" t="n">
        <v>7</v>
      </c>
      <c r="I52" s="4" t="n">
        <v>0</v>
      </c>
      <c r="J52" s="3" t="n">
        <v>12187</v>
      </c>
      <c r="K52" s="3" t="n">
        <v>8393.549999999999</v>
      </c>
      <c r="L52" s="3" t="n">
        <v>3793.45</v>
      </c>
    </row>
    <row r="53">
      <c r="A53" t="inlineStr">
        <is>
          <t>ORD-0022</t>
        </is>
      </c>
      <c r="B53" s="2" t="n">
        <v>45899</v>
      </c>
      <c r="C53" t="inlineStr">
        <is>
          <t>North</t>
        </is>
      </c>
      <c r="D53" t="inlineStr">
        <is>
          <t>In-store</t>
        </is>
      </c>
      <c r="E53" t="inlineStr">
        <is>
          <t>Neha</t>
        </is>
      </c>
      <c r="F53" t="inlineStr">
        <is>
          <t>Webcam</t>
        </is>
      </c>
      <c r="G53" s="3" t="n">
        <v>4269</v>
      </c>
      <c r="H53" t="n">
        <v>4</v>
      </c>
      <c r="I53" s="4" t="n">
        <v>0</v>
      </c>
      <c r="J53" s="3" t="n">
        <v>17076</v>
      </c>
      <c r="K53" s="3" t="n">
        <v>13092.69</v>
      </c>
      <c r="L53" s="3" t="n">
        <v>3983.31</v>
      </c>
    </row>
    <row r="54">
      <c r="A54" t="inlineStr">
        <is>
          <t>ORD-0064</t>
        </is>
      </c>
      <c r="B54" s="2" t="n">
        <v>45901</v>
      </c>
      <c r="C54" t="inlineStr">
        <is>
          <t>West</t>
        </is>
      </c>
      <c r="D54" t="inlineStr">
        <is>
          <t>In-store</t>
        </is>
      </c>
      <c r="E54" t="inlineStr">
        <is>
          <t>Asha</t>
        </is>
      </c>
      <c r="F54" t="inlineStr">
        <is>
          <t>Monitor</t>
        </is>
      </c>
      <c r="G54" s="3" t="n">
        <v>14918</v>
      </c>
      <c r="H54" t="n">
        <v>6</v>
      </c>
      <c r="I54" s="4" t="n">
        <v>0.05</v>
      </c>
      <c r="J54" s="3" t="n">
        <v>85032.60000000001</v>
      </c>
      <c r="K54" s="3" t="n">
        <v>67183.78</v>
      </c>
      <c r="L54" s="3" t="n">
        <v>17848.82</v>
      </c>
    </row>
    <row r="55">
      <c r="A55" t="inlineStr">
        <is>
          <t>ORD-0006</t>
        </is>
      </c>
      <c r="B55" s="2" t="n">
        <v>45902</v>
      </c>
      <c r="C55" t="inlineStr">
        <is>
          <t>South</t>
        </is>
      </c>
      <c r="D55" t="inlineStr">
        <is>
          <t>Online</t>
        </is>
      </c>
      <c r="E55" t="inlineStr">
        <is>
          <t>Neha</t>
        </is>
      </c>
      <c r="F55" t="inlineStr">
        <is>
          <t>Keyboard</t>
        </is>
      </c>
      <c r="G55" s="3" t="n">
        <v>1887</v>
      </c>
      <c r="H55" t="n">
        <v>1</v>
      </c>
      <c r="I55" s="4" t="n">
        <v>0.1</v>
      </c>
      <c r="J55" s="3" t="n">
        <v>1698.3</v>
      </c>
      <c r="K55" s="3" t="n">
        <v>1202.67</v>
      </c>
      <c r="L55" s="3" t="n">
        <v>495.63</v>
      </c>
    </row>
    <row r="56">
      <c r="A56" t="inlineStr">
        <is>
          <t>ORD-0042</t>
        </is>
      </c>
      <c r="B56" s="2" t="n">
        <v>45910</v>
      </c>
      <c r="C56" t="inlineStr">
        <is>
          <t>West</t>
        </is>
      </c>
      <c r="D56" t="inlineStr">
        <is>
          <t>Online</t>
        </is>
      </c>
      <c r="E56" t="inlineStr">
        <is>
          <t>Rahul</t>
        </is>
      </c>
      <c r="F56" t="inlineStr">
        <is>
          <t>Laptop</t>
        </is>
      </c>
      <c r="G56" s="3" t="n">
        <v>60505</v>
      </c>
      <c r="H56" t="n">
        <v>2</v>
      </c>
      <c r="I56" s="4" t="n">
        <v>0.1</v>
      </c>
      <c r="J56" s="3" t="n">
        <v>108909</v>
      </c>
      <c r="K56" s="3" t="n">
        <v>95544.74000000001</v>
      </c>
      <c r="L56" s="3" t="n">
        <v>13364.26</v>
      </c>
    </row>
    <row r="57">
      <c r="A57" t="inlineStr">
        <is>
          <t>ORD-0043</t>
        </is>
      </c>
      <c r="B57" s="2" t="n">
        <v>45912</v>
      </c>
      <c r="C57" t="inlineStr">
        <is>
          <t>East</t>
        </is>
      </c>
      <c r="D57" t="inlineStr">
        <is>
          <t>Online</t>
        </is>
      </c>
      <c r="E57" t="inlineStr">
        <is>
          <t>Asha</t>
        </is>
      </c>
      <c r="F57" t="inlineStr">
        <is>
          <t>Laptop</t>
        </is>
      </c>
      <c r="G57" s="3" t="n">
        <v>53670</v>
      </c>
      <c r="H57" t="n">
        <v>8</v>
      </c>
      <c r="I57" s="4" t="n">
        <v>0</v>
      </c>
      <c r="J57" s="3" t="n">
        <v>429360</v>
      </c>
      <c r="K57" s="3" t="n">
        <v>269513.5</v>
      </c>
      <c r="L57" s="3" t="n">
        <v>159846.5</v>
      </c>
    </row>
    <row r="58">
      <c r="A58" t="inlineStr">
        <is>
          <t>ORD-0056</t>
        </is>
      </c>
      <c r="B58" s="2" t="n">
        <v>45914</v>
      </c>
      <c r="C58" t="inlineStr">
        <is>
          <t>South</t>
        </is>
      </c>
      <c r="D58" t="inlineStr">
        <is>
          <t>In-store</t>
        </is>
      </c>
      <c r="E58" t="inlineStr">
        <is>
          <t>Arjun</t>
        </is>
      </c>
      <c r="F58" t="inlineStr">
        <is>
          <t>Webcam</t>
        </is>
      </c>
      <c r="G58" s="3" t="n">
        <v>5116</v>
      </c>
      <c r="H58" t="n">
        <v>3</v>
      </c>
      <c r="I58" s="4" t="n">
        <v>0</v>
      </c>
      <c r="J58" s="3" t="n">
        <v>15348</v>
      </c>
      <c r="K58" s="3" t="n">
        <v>12091.95</v>
      </c>
      <c r="L58" s="3" t="n">
        <v>3256.05</v>
      </c>
    </row>
    <row r="59">
      <c r="A59" t="inlineStr">
        <is>
          <t>ORD-0062</t>
        </is>
      </c>
      <c r="B59" s="2" t="n">
        <v>45917</v>
      </c>
      <c r="C59" t="inlineStr">
        <is>
          <t>West</t>
        </is>
      </c>
      <c r="D59" t="inlineStr">
        <is>
          <t>In-store</t>
        </is>
      </c>
      <c r="E59" t="inlineStr">
        <is>
          <t>Asha</t>
        </is>
      </c>
      <c r="F59" t="inlineStr">
        <is>
          <t>Monitor</t>
        </is>
      </c>
      <c r="G59" s="3" t="n">
        <v>15288</v>
      </c>
      <c r="H59" t="n">
        <v>1</v>
      </c>
      <c r="I59" s="4" t="n">
        <v>0</v>
      </c>
      <c r="J59" s="3" t="n">
        <v>15288</v>
      </c>
      <c r="K59" s="3" t="n">
        <v>9502.35</v>
      </c>
      <c r="L59" s="3" t="n">
        <v>5785.65</v>
      </c>
    </row>
    <row r="60">
      <c r="A60" t="inlineStr">
        <is>
          <t>ORD-0001</t>
        </is>
      </c>
      <c r="B60" s="2" t="n">
        <v>45925</v>
      </c>
      <c r="C60" t="inlineStr">
        <is>
          <t>East</t>
        </is>
      </c>
      <c r="D60" t="inlineStr">
        <is>
          <t>Online</t>
        </is>
      </c>
      <c r="E60" t="inlineStr">
        <is>
          <t>Asha</t>
        </is>
      </c>
      <c r="F60" t="inlineStr">
        <is>
          <t>Mouse</t>
        </is>
      </c>
      <c r="G60" s="3" t="n">
        <v>1021</v>
      </c>
      <c r="H60" t="n">
        <v>6</v>
      </c>
      <c r="I60" s="4" t="n">
        <v>0.05</v>
      </c>
      <c r="J60" s="3" t="n">
        <v>5819.7</v>
      </c>
      <c r="K60" s="3" t="n">
        <v>3809.91</v>
      </c>
      <c r="L60" s="3" t="n">
        <v>2009.79</v>
      </c>
    </row>
    <row r="61">
      <c r="A61" t="inlineStr">
        <is>
          <t>ORD-0025</t>
        </is>
      </c>
      <c r="B61" s="2" t="n">
        <v>45927</v>
      </c>
      <c r="C61" t="inlineStr">
        <is>
          <t>North</t>
        </is>
      </c>
      <c r="D61" t="inlineStr">
        <is>
          <t>In-store</t>
        </is>
      </c>
      <c r="E61" t="inlineStr">
        <is>
          <t>Rahul</t>
        </is>
      </c>
      <c r="F61" t="inlineStr">
        <is>
          <t>Keyboard</t>
        </is>
      </c>
      <c r="G61" s="3" t="n">
        <v>865</v>
      </c>
      <c r="H61" t="n">
        <v>1</v>
      </c>
      <c r="I61" s="4" t="n">
        <v>0.05</v>
      </c>
      <c r="J61" s="3" t="n">
        <v>821.75</v>
      </c>
      <c r="K61" s="3" t="n">
        <v>569.25</v>
      </c>
      <c r="L61" s="3" t="n">
        <v>252.5</v>
      </c>
    </row>
    <row r="62">
      <c r="A62" t="inlineStr">
        <is>
          <t>ORD-0014</t>
        </is>
      </c>
      <c r="B62" s="2" t="n">
        <v>45930</v>
      </c>
      <c r="C62" t="inlineStr">
        <is>
          <t>West</t>
        </is>
      </c>
      <c r="D62" t="inlineStr">
        <is>
          <t>In-store</t>
        </is>
      </c>
      <c r="E62" t="inlineStr">
        <is>
          <t>Arjun</t>
        </is>
      </c>
      <c r="F62" t="inlineStr">
        <is>
          <t>Keyboard</t>
        </is>
      </c>
      <c r="G62" s="3" t="n">
        <v>1879</v>
      </c>
      <c r="H62" t="n">
        <v>3</v>
      </c>
      <c r="I62" s="4" t="n">
        <v>0.05</v>
      </c>
      <c r="J62" s="3" t="n">
        <v>5355.15</v>
      </c>
      <c r="K62" s="3" t="n">
        <v>3336.04</v>
      </c>
      <c r="L62" s="3" t="n">
        <v>2019.11</v>
      </c>
    </row>
    <row r="63">
      <c r="A63" t="inlineStr">
        <is>
          <t>ORD-0012</t>
        </is>
      </c>
      <c r="B63" s="2" t="n">
        <v>45932</v>
      </c>
      <c r="C63" t="inlineStr">
        <is>
          <t>West</t>
        </is>
      </c>
      <c r="D63" t="inlineStr">
        <is>
          <t>Online</t>
        </is>
      </c>
      <c r="E63" t="inlineStr">
        <is>
          <t>Kiran</t>
        </is>
      </c>
      <c r="F63" t="inlineStr">
        <is>
          <t>Keyboard</t>
        </is>
      </c>
      <c r="G63" s="3" t="n">
        <v>2348</v>
      </c>
      <c r="H63" t="n">
        <v>6</v>
      </c>
      <c r="I63" s="4" t="n">
        <v>0.05</v>
      </c>
      <c r="J63" s="3" t="n">
        <v>13383.6</v>
      </c>
      <c r="K63" s="3" t="n">
        <v>8338.209999999999</v>
      </c>
      <c r="L63" s="3" t="n">
        <v>5045.39</v>
      </c>
    </row>
    <row r="64">
      <c r="A64" t="inlineStr">
        <is>
          <t>ORD-0026</t>
        </is>
      </c>
      <c r="B64" s="2" t="n">
        <v>45933</v>
      </c>
      <c r="C64" t="inlineStr">
        <is>
          <t>South</t>
        </is>
      </c>
      <c r="D64" t="inlineStr">
        <is>
          <t>Online</t>
        </is>
      </c>
      <c r="E64" t="inlineStr">
        <is>
          <t>Kiran</t>
        </is>
      </c>
      <c r="F64" t="inlineStr">
        <is>
          <t>Monitor</t>
        </is>
      </c>
      <c r="G64" s="3" t="n">
        <v>16101</v>
      </c>
      <c r="H64" t="n">
        <v>5</v>
      </c>
      <c r="I64" s="4" t="n">
        <v>0.1</v>
      </c>
      <c r="J64" s="3" t="n">
        <v>72454.5</v>
      </c>
      <c r="K64" s="3" t="n">
        <v>49100.98</v>
      </c>
      <c r="L64" s="3" t="n">
        <v>23353.52</v>
      </c>
    </row>
    <row r="65">
      <c r="A65" t="inlineStr">
        <is>
          <t>ORD-0024</t>
        </is>
      </c>
      <c r="B65" s="2" t="n">
        <v>45933</v>
      </c>
      <c r="C65" t="inlineStr">
        <is>
          <t>West</t>
        </is>
      </c>
      <c r="D65" t="inlineStr">
        <is>
          <t>In-store</t>
        </is>
      </c>
      <c r="E65" t="inlineStr">
        <is>
          <t>Asha</t>
        </is>
      </c>
      <c r="F65" t="inlineStr">
        <is>
          <t>Keyboard</t>
        </is>
      </c>
      <c r="G65" s="3" t="n">
        <v>1251</v>
      </c>
      <c r="H65" t="n">
        <v>6</v>
      </c>
      <c r="I65" s="4" t="n">
        <v>0.05</v>
      </c>
      <c r="J65" s="3" t="n">
        <v>7130.7</v>
      </c>
      <c r="K65" s="3" t="n">
        <v>6047.01</v>
      </c>
      <c r="L65" s="3" t="n">
        <v>1083.69</v>
      </c>
    </row>
    <row r="66">
      <c r="A66" t="inlineStr">
        <is>
          <t>ORD-0060</t>
        </is>
      </c>
      <c r="B66" s="2" t="n">
        <v>45935</v>
      </c>
      <c r="C66" t="inlineStr">
        <is>
          <t>East</t>
        </is>
      </c>
      <c r="D66" t="inlineStr">
        <is>
          <t>In-store</t>
        </is>
      </c>
      <c r="E66" t="inlineStr">
        <is>
          <t>Neha</t>
        </is>
      </c>
      <c r="F66" t="inlineStr">
        <is>
          <t>Keyboard</t>
        </is>
      </c>
      <c r="G66" s="3" t="n">
        <v>2134</v>
      </c>
      <c r="H66" t="n">
        <v>6</v>
      </c>
      <c r="I66" s="4" t="n">
        <v>0</v>
      </c>
      <c r="J66" s="3" t="n">
        <v>12804</v>
      </c>
      <c r="K66" s="3" t="n">
        <v>10447.49</v>
      </c>
      <c r="L66" s="3" t="n">
        <v>2356.51</v>
      </c>
    </row>
    <row r="67">
      <c r="A67" t="inlineStr">
        <is>
          <t>ORD-0073</t>
        </is>
      </c>
      <c r="B67" s="2" t="n">
        <v>45936</v>
      </c>
      <c r="C67" t="inlineStr">
        <is>
          <t>South</t>
        </is>
      </c>
      <c r="D67" t="inlineStr">
        <is>
          <t>In-store</t>
        </is>
      </c>
      <c r="E67" t="inlineStr">
        <is>
          <t>Asha</t>
        </is>
      </c>
      <c r="F67" t="inlineStr">
        <is>
          <t>Keyboard</t>
        </is>
      </c>
      <c r="G67" s="3" t="n">
        <v>1995</v>
      </c>
      <c r="H67" t="n">
        <v>1</v>
      </c>
      <c r="I67" s="4" t="n">
        <v>0.15</v>
      </c>
      <c r="J67" s="3" t="n">
        <v>1695.75</v>
      </c>
      <c r="K67" s="3" t="n">
        <v>1515.04</v>
      </c>
      <c r="L67" s="3" t="n">
        <v>180.71</v>
      </c>
    </row>
    <row r="68">
      <c r="A68" t="inlineStr">
        <is>
          <t>ORD-0072</t>
        </is>
      </c>
      <c r="B68" s="2" t="n">
        <v>45946</v>
      </c>
      <c r="C68" t="inlineStr">
        <is>
          <t>West</t>
        </is>
      </c>
      <c r="D68" t="inlineStr">
        <is>
          <t>In-store</t>
        </is>
      </c>
      <c r="E68" t="inlineStr">
        <is>
          <t>Arjun</t>
        </is>
      </c>
      <c r="F68" t="inlineStr">
        <is>
          <t>Mouse</t>
        </is>
      </c>
      <c r="G68" s="3" t="n">
        <v>1000</v>
      </c>
      <c r="H68" t="n">
        <v>7</v>
      </c>
      <c r="I68" s="4" t="n">
        <v>0</v>
      </c>
      <c r="J68" s="3" t="n">
        <v>7000</v>
      </c>
      <c r="K68" s="3" t="n">
        <v>4343.79</v>
      </c>
      <c r="L68" s="3" t="n">
        <v>2656.21</v>
      </c>
    </row>
    <row r="69">
      <c r="A69" t="inlineStr">
        <is>
          <t>ORD-0034</t>
        </is>
      </c>
      <c r="B69" s="2" t="n">
        <v>45952</v>
      </c>
      <c r="C69" t="inlineStr">
        <is>
          <t>East</t>
        </is>
      </c>
      <c r="D69" t="inlineStr">
        <is>
          <t>Online</t>
        </is>
      </c>
      <c r="E69" t="inlineStr">
        <is>
          <t>Rahul</t>
        </is>
      </c>
      <c r="F69" t="inlineStr">
        <is>
          <t>Headphones</t>
        </is>
      </c>
      <c r="G69" s="3" t="n">
        <v>2375</v>
      </c>
      <c r="H69" t="n">
        <v>7</v>
      </c>
      <c r="I69" s="4" t="n">
        <v>0</v>
      </c>
      <c r="J69" s="3" t="n">
        <v>16625</v>
      </c>
      <c r="K69" s="3" t="n">
        <v>13428.24</v>
      </c>
      <c r="L69" s="3" t="n">
        <v>3196.76</v>
      </c>
    </row>
    <row r="70">
      <c r="A70" t="inlineStr">
        <is>
          <t>ORD-0017</t>
        </is>
      </c>
      <c r="B70" s="2" t="n">
        <v>45954</v>
      </c>
      <c r="C70" t="inlineStr">
        <is>
          <t>South</t>
        </is>
      </c>
      <c r="D70" t="inlineStr">
        <is>
          <t>Online</t>
        </is>
      </c>
      <c r="E70" t="inlineStr">
        <is>
          <t>Priya</t>
        </is>
      </c>
      <c r="F70" t="inlineStr">
        <is>
          <t>Monitor</t>
        </is>
      </c>
      <c r="G70" s="3" t="n">
        <v>17107</v>
      </c>
      <c r="H70" t="n">
        <v>4</v>
      </c>
      <c r="I70" s="4" t="n">
        <v>0.15</v>
      </c>
      <c r="J70" s="3" t="n">
        <v>58163.8</v>
      </c>
      <c r="K70" s="3" t="n">
        <v>44836.28</v>
      </c>
      <c r="L70" s="3" t="n">
        <v>13327.52</v>
      </c>
    </row>
    <row r="71">
      <c r="A71" t="inlineStr">
        <is>
          <t>ORD-0077</t>
        </is>
      </c>
      <c r="B71" s="2" t="n">
        <v>45955</v>
      </c>
      <c r="C71" t="inlineStr">
        <is>
          <t>South</t>
        </is>
      </c>
      <c r="D71" t="inlineStr">
        <is>
          <t>In-store</t>
        </is>
      </c>
      <c r="E71" t="inlineStr">
        <is>
          <t>Arjun</t>
        </is>
      </c>
      <c r="F71" t="inlineStr">
        <is>
          <t>Monitor</t>
        </is>
      </c>
      <c r="G71" s="3" t="n">
        <v>15744</v>
      </c>
      <c r="H71" t="n">
        <v>5</v>
      </c>
      <c r="I71" s="4" t="n">
        <v>0.15</v>
      </c>
      <c r="J71" s="3" t="n">
        <v>66912</v>
      </c>
      <c r="K71" s="3" t="n">
        <v>51178.87</v>
      </c>
      <c r="L71" s="3" t="n">
        <v>15733.13</v>
      </c>
    </row>
    <row r="72">
      <c r="A72" t="inlineStr">
        <is>
          <t>ORD-0029</t>
        </is>
      </c>
      <c r="B72" s="2" t="n">
        <v>45958</v>
      </c>
      <c r="C72" t="inlineStr">
        <is>
          <t>West</t>
        </is>
      </c>
      <c r="D72" t="inlineStr">
        <is>
          <t>Online</t>
        </is>
      </c>
      <c r="E72" t="inlineStr">
        <is>
          <t>Neha</t>
        </is>
      </c>
      <c r="F72" t="inlineStr">
        <is>
          <t>Headphones</t>
        </is>
      </c>
      <c r="G72" s="3" t="n">
        <v>3797</v>
      </c>
      <c r="H72" t="n">
        <v>8</v>
      </c>
      <c r="I72" s="4" t="n">
        <v>0.05</v>
      </c>
      <c r="J72" s="3" t="n">
        <v>28857.2</v>
      </c>
      <c r="K72" s="3" t="n">
        <v>24592.6</v>
      </c>
      <c r="L72" s="3" t="n">
        <v>4264.6</v>
      </c>
    </row>
    <row r="73">
      <c r="A73" t="inlineStr">
        <is>
          <t>ORD-0011</t>
        </is>
      </c>
      <c r="B73" s="2" t="n">
        <v>45960</v>
      </c>
      <c r="C73" t="inlineStr">
        <is>
          <t>North</t>
        </is>
      </c>
      <c r="D73" t="inlineStr">
        <is>
          <t>Online</t>
        </is>
      </c>
      <c r="E73" t="inlineStr">
        <is>
          <t>Asha</t>
        </is>
      </c>
      <c r="F73" t="inlineStr">
        <is>
          <t>Mouse</t>
        </is>
      </c>
      <c r="G73" s="3" t="n">
        <v>775</v>
      </c>
      <c r="H73" t="n">
        <v>4</v>
      </c>
      <c r="I73" s="4" t="n">
        <v>0.05</v>
      </c>
      <c r="J73" s="3" t="n">
        <v>2945</v>
      </c>
      <c r="K73" s="3" t="n">
        <v>2512.91</v>
      </c>
      <c r="L73" s="3" t="n">
        <v>432.09</v>
      </c>
    </row>
    <row r="74">
      <c r="A74" t="inlineStr">
        <is>
          <t>ORD-0076</t>
        </is>
      </c>
      <c r="B74" s="2" t="n">
        <v>45969</v>
      </c>
      <c r="C74" t="inlineStr">
        <is>
          <t>South</t>
        </is>
      </c>
      <c r="D74" t="inlineStr">
        <is>
          <t>Online</t>
        </is>
      </c>
      <c r="E74" t="inlineStr">
        <is>
          <t>Arjun</t>
        </is>
      </c>
      <c r="F74" t="inlineStr">
        <is>
          <t>Monitor</t>
        </is>
      </c>
      <c r="G74" s="3" t="n">
        <v>14858</v>
      </c>
      <c r="H74" t="n">
        <v>1</v>
      </c>
      <c r="I74" s="4" t="n">
        <v>0</v>
      </c>
      <c r="J74" s="3" t="n">
        <v>14858</v>
      </c>
      <c r="K74" s="3" t="n">
        <v>11505.84</v>
      </c>
      <c r="L74" s="3" t="n">
        <v>3352.16</v>
      </c>
    </row>
    <row r="75">
      <c r="A75" t="inlineStr">
        <is>
          <t>ORD-0052</t>
        </is>
      </c>
      <c r="B75" s="2" t="n">
        <v>45982</v>
      </c>
      <c r="C75" t="inlineStr">
        <is>
          <t>West</t>
        </is>
      </c>
      <c r="D75" t="inlineStr">
        <is>
          <t>Online</t>
        </is>
      </c>
      <c r="E75" t="inlineStr">
        <is>
          <t>Arjun</t>
        </is>
      </c>
      <c r="F75" t="inlineStr">
        <is>
          <t>Mouse</t>
        </is>
      </c>
      <c r="G75" s="3" t="n">
        <v>612</v>
      </c>
      <c r="H75" t="n">
        <v>6</v>
      </c>
      <c r="I75" s="4" t="n">
        <v>0.15</v>
      </c>
      <c r="J75" s="3" t="n">
        <v>3121.2</v>
      </c>
      <c r="K75" s="3" t="n">
        <v>2793.59</v>
      </c>
      <c r="L75" s="3" t="n">
        <v>327.61</v>
      </c>
    </row>
    <row r="76">
      <c r="A76" t="inlineStr">
        <is>
          <t>ORD-0036</t>
        </is>
      </c>
      <c r="B76" s="2" t="n">
        <v>45989</v>
      </c>
      <c r="C76" t="inlineStr">
        <is>
          <t>North</t>
        </is>
      </c>
      <c r="D76" t="inlineStr">
        <is>
          <t>In-store</t>
        </is>
      </c>
      <c r="E76" t="inlineStr">
        <is>
          <t>Kiran</t>
        </is>
      </c>
      <c r="F76" t="inlineStr">
        <is>
          <t>Monitor</t>
        </is>
      </c>
      <c r="G76" s="3" t="n">
        <v>13174</v>
      </c>
      <c r="H76" t="n">
        <v>1</v>
      </c>
      <c r="I76" s="4" t="n">
        <v>0</v>
      </c>
      <c r="J76" s="3" t="n">
        <v>13174</v>
      </c>
      <c r="K76" s="3" t="n">
        <v>10388.43</v>
      </c>
      <c r="L76" s="3" t="n">
        <v>2785.57</v>
      </c>
    </row>
    <row r="77">
      <c r="A77" t="inlineStr">
        <is>
          <t>ORD-0080</t>
        </is>
      </c>
      <c r="B77" s="2" t="n">
        <v>45990</v>
      </c>
      <c r="C77" t="inlineStr">
        <is>
          <t>East</t>
        </is>
      </c>
      <c r="D77" t="inlineStr">
        <is>
          <t>In-store</t>
        </is>
      </c>
      <c r="E77" t="inlineStr">
        <is>
          <t>Neha</t>
        </is>
      </c>
      <c r="F77" t="inlineStr">
        <is>
          <t>Webcam</t>
        </is>
      </c>
      <c r="G77" s="3" t="n">
        <v>2268</v>
      </c>
      <c r="H77" t="n">
        <v>8</v>
      </c>
      <c r="I77" s="4" t="n">
        <v>0.05</v>
      </c>
      <c r="J77" s="3" t="n">
        <v>17236.8</v>
      </c>
      <c r="K77" s="3" t="n">
        <v>11054.64</v>
      </c>
      <c r="L77" s="3" t="n">
        <v>6182.16</v>
      </c>
    </row>
    <row r="78">
      <c r="A78" t="inlineStr">
        <is>
          <t>ORD-0037</t>
        </is>
      </c>
      <c r="B78" s="2" t="n">
        <v>45990</v>
      </c>
      <c r="C78" t="inlineStr">
        <is>
          <t>East</t>
        </is>
      </c>
      <c r="D78" t="inlineStr">
        <is>
          <t>In-store</t>
        </is>
      </c>
      <c r="E78" t="inlineStr">
        <is>
          <t>Rahul</t>
        </is>
      </c>
      <c r="F78" t="inlineStr">
        <is>
          <t>Mouse</t>
        </is>
      </c>
      <c r="G78" s="3" t="n">
        <v>1227</v>
      </c>
      <c r="H78" t="n">
        <v>7</v>
      </c>
      <c r="I78" s="4" t="n">
        <v>0.15</v>
      </c>
      <c r="J78" s="3" t="n">
        <v>7300.65</v>
      </c>
      <c r="K78" s="3" t="n">
        <v>5516.17</v>
      </c>
      <c r="L78" s="3" t="n">
        <v>1784.48</v>
      </c>
    </row>
    <row r="79">
      <c r="A79" t="inlineStr">
        <is>
          <t>ORD-0019</t>
        </is>
      </c>
      <c r="B79" s="2" t="n">
        <v>46018</v>
      </c>
      <c r="C79" t="inlineStr">
        <is>
          <t>South</t>
        </is>
      </c>
      <c r="D79" t="inlineStr">
        <is>
          <t>In-store</t>
        </is>
      </c>
      <c r="E79" t="inlineStr">
        <is>
          <t>Arjun</t>
        </is>
      </c>
      <c r="F79" t="inlineStr">
        <is>
          <t>Headphones</t>
        </is>
      </c>
      <c r="G79" s="3" t="n">
        <v>2664</v>
      </c>
      <c r="H79" t="n">
        <v>8</v>
      </c>
      <c r="I79" s="4" t="n">
        <v>0.1</v>
      </c>
      <c r="J79" s="3" t="n">
        <v>19180.8</v>
      </c>
      <c r="K79" s="3" t="n">
        <v>14639.93</v>
      </c>
      <c r="L79" s="3" t="n">
        <v>4540.87</v>
      </c>
    </row>
    <row r="80">
      <c r="A80" t="inlineStr">
        <is>
          <t>ORD-0069</t>
        </is>
      </c>
      <c r="B80" s="2" t="n">
        <v>46022</v>
      </c>
      <c r="C80" t="inlineStr">
        <is>
          <t>West</t>
        </is>
      </c>
      <c r="D80" t="inlineStr">
        <is>
          <t>Online</t>
        </is>
      </c>
      <c r="E80" t="inlineStr">
        <is>
          <t>Asha</t>
        </is>
      </c>
      <c r="F80" t="inlineStr">
        <is>
          <t>Webcam</t>
        </is>
      </c>
      <c r="G80" s="3" t="n">
        <v>5566</v>
      </c>
      <c r="H80" t="n">
        <v>7</v>
      </c>
      <c r="I80" s="4" t="n">
        <v>0.1</v>
      </c>
      <c r="J80" s="3" t="n">
        <v>35065.8</v>
      </c>
      <c r="K80" s="3" t="n">
        <v>25732.23</v>
      </c>
      <c r="L80" s="3" t="n">
        <v>9333.57</v>
      </c>
    </row>
    <row r="81">
      <c r="A81" t="inlineStr">
        <is>
          <t>ORD-0059</t>
        </is>
      </c>
      <c r="B81" s="2" t="n">
        <v>46022</v>
      </c>
      <c r="C81" t="inlineStr">
        <is>
          <t>North</t>
        </is>
      </c>
      <c r="D81" t="inlineStr">
        <is>
          <t>Online</t>
        </is>
      </c>
      <c r="E81" t="inlineStr">
        <is>
          <t>Kiran</t>
        </is>
      </c>
      <c r="F81" t="inlineStr">
        <is>
          <t>Keyboard</t>
        </is>
      </c>
      <c r="G81" s="3" t="n">
        <v>2398</v>
      </c>
      <c r="H81" t="n">
        <v>7</v>
      </c>
      <c r="I81" s="4" t="n">
        <v>0.1</v>
      </c>
      <c r="J81" s="3" t="n">
        <v>15107.4</v>
      </c>
      <c r="K81" s="3" t="n">
        <v>12580.96</v>
      </c>
      <c r="L81" s="3" t="n">
        <v>2526.44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4" customWidth="1" min="3" max="3"/>
    <col width="22" customWidth="1" min="4" max="4"/>
    <col width="22" customWidth="1" min="5" max="5"/>
  </cols>
  <sheetData>
    <row r="1">
      <c r="A1" s="5" t="inlineStr">
        <is>
          <t>SALES DATA ANALYSIS — BEGINNER PROJECT</t>
        </is>
      </c>
    </row>
    <row r="2"/>
    <row r="3">
      <c r="A3" s="6" t="inlineStr">
        <is>
          <t>Key Metric</t>
        </is>
      </c>
      <c r="B3" s="6" t="inlineStr">
        <is>
          <t>Value</t>
        </is>
      </c>
    </row>
    <row r="4">
      <c r="A4" s="7" t="inlineStr">
        <is>
          <t>Total Revenue (INR)</t>
        </is>
      </c>
      <c r="B4" s="8">
        <f>SUM(Sales_Data!J2:J81)</f>
        <v/>
      </c>
    </row>
    <row r="5">
      <c r="A5" s="7" t="inlineStr">
        <is>
          <t>Total Profit (INR)</t>
        </is>
      </c>
      <c r="B5" s="8">
        <f>SUM(Sales_Data!L2:L81)</f>
        <v/>
      </c>
    </row>
    <row r="6">
      <c r="A6" s="7" t="inlineStr">
        <is>
          <t>Total Orders</t>
        </is>
      </c>
      <c r="B6" s="7">
        <f>COUNTA(Sales_Data!A2:A81)</f>
        <v/>
      </c>
    </row>
    <row r="7">
      <c r="A7" s="7" t="inlineStr">
        <is>
          <t>Units Sold</t>
        </is>
      </c>
      <c r="B7" s="7">
        <f>SUM(Sales_Data!H2:H81)</f>
        <v/>
      </c>
    </row>
    <row r="8">
      <c r="A8" s="7" t="inlineStr">
        <is>
          <t>Average Order Revenue (INR)</t>
        </is>
      </c>
      <c r="B8" s="8">
        <f>AVERAGE(Sales_Data!J2:J81)</f>
        <v/>
      </c>
    </row>
    <row r="9"/>
    <row r="10"/>
    <row r="11">
      <c r="A11" s="9" t="inlineStr">
        <is>
          <t>Revenue by Region</t>
        </is>
      </c>
      <c r="D11" s="9" t="inlineStr">
        <is>
          <t>Revenue by Product</t>
        </is>
      </c>
    </row>
    <row r="12">
      <c r="A12" s="6" t="inlineStr">
        <is>
          <t>Region</t>
        </is>
      </c>
      <c r="B12" s="6" t="inlineStr">
        <is>
          <t>Revenue (INR)</t>
        </is>
      </c>
      <c r="D12" s="6" t="inlineStr">
        <is>
          <t>Product</t>
        </is>
      </c>
      <c r="E12" s="6" t="inlineStr">
        <is>
          <t>Revenue (INR)</t>
        </is>
      </c>
    </row>
    <row r="13">
      <c r="A13" s="7" t="inlineStr">
        <is>
          <t>North</t>
        </is>
      </c>
      <c r="B13" s="8">
        <f>SUMIF(Sales_Data!C$2:C$81,A13,Sales_Data!J$2:J$81)</f>
        <v/>
      </c>
      <c r="D13" s="7" t="inlineStr">
        <is>
          <t>Laptop</t>
        </is>
      </c>
      <c r="E13" s="8">
        <f>SUMIF(Sales_Data!F$2:F$81,D13,Sales_Data!J$2:J$81)</f>
        <v/>
      </c>
    </row>
    <row r="14">
      <c r="A14" s="7" t="inlineStr">
        <is>
          <t>South</t>
        </is>
      </c>
      <c r="B14" s="8">
        <f>SUMIF(Sales_Data!C$2:C$81,A14,Sales_Data!J$2:J$81)</f>
        <v/>
      </c>
      <c r="D14" s="7" t="inlineStr">
        <is>
          <t>Monitor</t>
        </is>
      </c>
      <c r="E14" s="8">
        <f>SUMIF(Sales_Data!F$2:F$81,D14,Sales_Data!J$2:J$81)</f>
        <v/>
      </c>
    </row>
    <row r="15">
      <c r="A15" s="7" t="inlineStr">
        <is>
          <t>East</t>
        </is>
      </c>
      <c r="B15" s="8">
        <f>SUMIF(Sales_Data!C$2:C$81,A15,Sales_Data!J$2:J$81)</f>
        <v/>
      </c>
      <c r="D15" s="7" t="inlineStr">
        <is>
          <t>Keyboard</t>
        </is>
      </c>
      <c r="E15" s="8">
        <f>SUMIF(Sales_Data!F$2:F$81,D15,Sales_Data!J$2:J$81)</f>
        <v/>
      </c>
    </row>
    <row r="16">
      <c r="A16" s="7" t="inlineStr">
        <is>
          <t>West</t>
        </is>
      </c>
      <c r="B16" s="8">
        <f>SUMIF(Sales_Data!C$2:C$81,A16,Sales_Data!J$2:J$81)</f>
        <v/>
      </c>
      <c r="D16" s="7" t="inlineStr">
        <is>
          <t>Mouse</t>
        </is>
      </c>
      <c r="E16" s="8">
        <f>SUMIF(Sales_Data!F$2:F$81,D16,Sales_Data!J$2:J$81)</f>
        <v/>
      </c>
    </row>
    <row r="17">
      <c r="D17" s="7" t="inlineStr">
        <is>
          <t>Headphones</t>
        </is>
      </c>
      <c r="E17" s="8">
        <f>SUMIF(Sales_Data!F$2:F$81,D17,Sales_Data!J$2:J$81)</f>
        <v/>
      </c>
    </row>
    <row r="18">
      <c r="D18" s="7" t="inlineStr">
        <is>
          <t>Webcam</t>
        </is>
      </c>
      <c r="E18" s="8">
        <f>SUMIF(Sales_Data!F$2:F$81,D18,Sales_Data!J$2:J$81)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2026-10-16T12:41:57Z</dcterms:created>
  <dcterms:modified xmlns:dcterms="http://purl.org/dc/terms/" xmlns:xsi="http://www.w3.org/2001/XMLSchema-instance" xsi:type="dcterms:W3CDTF">2026-10-16T12:41:57Z</dcterms:modified>
</cp:coreProperties>
</file>